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mel\Desktop\Fiap\04. Applied statistics\Trabalho integrado\"/>
    </mc:Choice>
  </mc:AlternateContent>
  <xr:revisionPtr revIDLastSave="0" documentId="13_ncr:1_{0489733A-FDE2-49B9-85F1-6F11F5342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dor de 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1" l="1"/>
  <c r="B24" i="1"/>
  <c r="B23" i="1"/>
  <c r="B21" i="1"/>
  <c r="B20" i="1"/>
  <c r="B19" i="1"/>
  <c r="B27" i="1" s="1"/>
  <c r="B22" i="1" l="1"/>
  <c r="B26" i="1"/>
  <c r="F7" i="1" l="1"/>
</calcChain>
</file>

<file path=xl/sharedStrings.xml><?xml version="1.0" encoding="utf-8"?>
<sst xmlns="http://schemas.openxmlformats.org/spreadsheetml/2006/main" count="70" uniqueCount="42">
  <si>
    <t>idade</t>
  </si>
  <si>
    <t>const</t>
  </si>
  <si>
    <t>escola (valor numérico)</t>
  </si>
  <si>
    <t>escola</t>
  </si>
  <si>
    <t>trabalha (1 para sim, 0 para não)</t>
  </si>
  <si>
    <t>trabalha</t>
  </si>
  <si>
    <t>reg_moradia (valor numérico)</t>
  </si>
  <si>
    <t>reg_moradia</t>
  </si>
  <si>
    <t>Qte_cartoes</t>
  </si>
  <si>
    <t>Qte_carros</t>
  </si>
  <si>
    <t>sexo_M (1 para sim, 0 para não)</t>
  </si>
  <si>
    <t>sexo_M</t>
  </si>
  <si>
    <t>estado_civil_divorciado (1/0)</t>
  </si>
  <si>
    <t>estado_civil_divorciado</t>
  </si>
  <si>
    <t>estado_civil_na (1/0)</t>
  </si>
  <si>
    <t>estado_civil_na</t>
  </si>
  <si>
    <t>estado_civil_solteiro (1/0)</t>
  </si>
  <si>
    <t>estado_civil_solteiro</t>
  </si>
  <si>
    <t>tempo_ultimoservico</t>
  </si>
  <si>
    <t>vl_salario_mil</t>
  </si>
  <si>
    <t>vl_imovel_em_mil</t>
  </si>
  <si>
    <t>vl_imovel_em_mil_log</t>
  </si>
  <si>
    <t>idade * tempo_ultimoservico</t>
  </si>
  <si>
    <t>idade * vl_salario_mil</t>
  </si>
  <si>
    <t>tempo_ultimoservico^2</t>
  </si>
  <si>
    <t>vl_salario_mil^2</t>
  </si>
  <si>
    <t>tempo_ultimoservico * vl_salario_mil</t>
  </si>
  <si>
    <t>vl_imovel_em_mil_log^2</t>
  </si>
  <si>
    <t>tempo_ultimoservico * vl_imovel_em_mil_log</t>
  </si>
  <si>
    <t>vl_salario_mil * vl_imovel_em_mil_log</t>
  </si>
  <si>
    <t>Simulador de Score de Crédito</t>
  </si>
  <si>
    <t>Score de Crédito estimado:</t>
  </si>
  <si>
    <t>Valores do cliente</t>
  </si>
  <si>
    <t>Valores calculados (não editar)</t>
  </si>
  <si>
    <t>Valor</t>
  </si>
  <si>
    <t>Coeficientes e Variável do Modelo (não editar)</t>
  </si>
  <si>
    <t>Caso 1</t>
  </si>
  <si>
    <t>Caso 2</t>
  </si>
  <si>
    <t>Caso 3</t>
  </si>
  <si>
    <t>Valores de exemplo da base original:</t>
  </si>
  <si>
    <t>Score crédito real</t>
  </si>
  <si>
    <t>:: Preencha aqui ::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</si>
</sst>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8" x14ac:knownFonts="1">
    <font>
      <sz val="10"/>
      <color rgb="FF000000"/>
      <name val="Arial"/>
      <scheme val="minor"/>
    </font>
    <font>
      <b/>
      <sz val="14"/>
      <color theme="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0" xfId="0" applyFont="1" applyAlignment="1"/>
    <xf numFmtId="4" fontId="3" fillId="0" borderId="0" xfId="0" applyNumberFormat="1" applyFont="1"/>
    <xf numFmtId="0" fontId="2" fillId="5" borderId="0" xfId="0" applyFont="1" applyFill="1" applyAlignment="1"/>
    <xf numFmtId="0" fontId="3" fillId="0" borderId="0" xfId="0" applyFont="1" applyAlignment="1">
      <alignment horizontal="left" indent="1"/>
    </xf>
    <xf numFmtId="0" fontId="3" fillId="5" borderId="0" xfId="0" applyFont="1" applyFill="1" applyAlignment="1">
      <alignment horizontal="left" indent="1"/>
    </xf>
    <xf numFmtId="4" fontId="3" fillId="5" borderId="0" xfId="0" applyNumberFormat="1" applyFont="1" applyFill="1" applyAlignment="1">
      <alignment horizontal="left" indent="1"/>
    </xf>
    <xf numFmtId="0" fontId="2" fillId="5" borderId="0" xfId="0" applyFont="1" applyFill="1" applyAlignment="1">
      <alignment horizontal="left" indent="1"/>
    </xf>
    <xf numFmtId="2" fontId="3" fillId="5" borderId="0" xfId="0" applyNumberFormat="1" applyFont="1" applyFill="1" applyAlignment="1">
      <alignment horizontal="left" indent="1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4" fontId="5" fillId="5" borderId="0" xfId="0" applyNumberFormat="1" applyFont="1" applyFill="1" applyAlignment="1">
      <alignment horizontal="left"/>
    </xf>
    <xf numFmtId="2" fontId="5" fillId="5" borderId="0" xfId="0" applyNumberFormat="1" applyFont="1" applyFill="1" applyAlignment="1">
      <alignment horizontal="left"/>
    </xf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3" borderId="0" xfId="0" applyFont="1" applyFill="1" applyBorder="1" applyAlignment="1"/>
    <xf numFmtId="0" fontId="2" fillId="3" borderId="5" xfId="0" applyFont="1" applyFill="1" applyBorder="1" applyAlignment="1"/>
    <xf numFmtId="165" fontId="5" fillId="3" borderId="8" xfId="0" applyNumberFormat="1" applyFont="1" applyFill="1" applyBorder="1" applyAlignment="1">
      <alignment horizontal="center"/>
    </xf>
    <xf numFmtId="0" fontId="0" fillId="4" borderId="0" xfId="0" applyFill="1"/>
    <xf numFmtId="2" fontId="0" fillId="4" borderId="0" xfId="0" applyNumberFormat="1" applyFill="1"/>
    <xf numFmtId="0" fontId="1" fillId="2" borderId="0" xfId="0" applyFont="1" applyFill="1" applyAlignment="1">
      <alignment horizontal="left" indent="1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6" borderId="0" xfId="0" applyFont="1" applyFill="1" applyAlignment="1">
      <alignment horizontal="left" indent="1"/>
    </xf>
    <xf numFmtId="2" fontId="7" fillId="6" borderId="0" xfId="0" applyNumberFormat="1" applyFont="1" applyFill="1"/>
    <xf numFmtId="4" fontId="5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6"/>
  <sheetViews>
    <sheetView showGridLines="0" tabSelected="1" workbookViewId="0">
      <selection activeCell="F11" sqref="F11"/>
    </sheetView>
  </sheetViews>
  <sheetFormatPr defaultColWidth="12.6640625" defaultRowHeight="15.75" customHeight="1" x14ac:dyDescent="0.3"/>
  <cols>
    <col min="1" max="1" width="35.109375" style="6" customWidth="1"/>
    <col min="2" max="2" width="16.21875" style="6" customWidth="1"/>
    <col min="3" max="3" width="12.6640625" style="6"/>
    <col min="4" max="4" width="14.6640625" style="6" customWidth="1"/>
    <col min="5" max="8" width="12.6640625" style="6"/>
    <col min="9" max="9" width="30.44140625" style="6" bestFit="1" customWidth="1"/>
    <col min="10" max="16384" width="12.6640625" style="6"/>
  </cols>
  <sheetData>
    <row r="1" spans="1:22" s="3" customFormat="1" ht="58.8" customHeight="1" x14ac:dyDescent="0.35">
      <c r="A1" s="26" t="s">
        <v>30</v>
      </c>
      <c r="B1" s="26"/>
      <c r="C1" s="26"/>
      <c r="D1" s="26"/>
      <c r="E1" s="26"/>
      <c r="F1" s="2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4" customFormat="1" ht="18.600000000000001" customHeight="1" x14ac:dyDescent="0.3">
      <c r="A2" s="13" t="s">
        <v>32</v>
      </c>
      <c r="B2" s="31" t="s">
        <v>41</v>
      </c>
      <c r="I2" s="12" t="s">
        <v>39</v>
      </c>
      <c r="J2" s="12" t="s">
        <v>36</v>
      </c>
      <c r="K2" s="12" t="s">
        <v>37</v>
      </c>
      <c r="L2" s="12" t="s">
        <v>38</v>
      </c>
    </row>
    <row r="3" spans="1:22" s="4" customFormat="1" ht="13.8" x14ac:dyDescent="0.3">
      <c r="A3" s="7" t="s">
        <v>0</v>
      </c>
      <c r="B3" s="24">
        <v>49</v>
      </c>
      <c r="I3" s="7" t="s">
        <v>0</v>
      </c>
      <c r="J3" s="24">
        <v>50</v>
      </c>
      <c r="K3" s="24">
        <v>49</v>
      </c>
      <c r="L3" s="24">
        <v>49</v>
      </c>
    </row>
    <row r="4" spans="1:22" s="4" customFormat="1" ht="13.8" x14ac:dyDescent="0.3">
      <c r="A4" s="7" t="s">
        <v>2</v>
      </c>
      <c r="B4" s="24">
        <v>1</v>
      </c>
      <c r="D4" s="17"/>
      <c r="E4" s="18"/>
      <c r="F4" s="19"/>
      <c r="I4" s="7" t="s">
        <v>2</v>
      </c>
      <c r="J4" s="24">
        <v>1</v>
      </c>
      <c r="K4" s="24">
        <v>0</v>
      </c>
      <c r="L4" s="24">
        <v>1</v>
      </c>
    </row>
    <row r="5" spans="1:22" s="4" customFormat="1" ht="13.8" x14ac:dyDescent="0.3">
      <c r="A5" s="7" t="s">
        <v>4</v>
      </c>
      <c r="B5" s="24">
        <v>1</v>
      </c>
      <c r="D5" s="20"/>
      <c r="E5" s="21"/>
      <c r="F5" s="22"/>
      <c r="I5" s="7" t="s">
        <v>4</v>
      </c>
      <c r="J5" s="24">
        <v>1</v>
      </c>
      <c r="K5" s="24">
        <v>1</v>
      </c>
      <c r="L5" s="24">
        <v>1</v>
      </c>
    </row>
    <row r="6" spans="1:22" s="4" customFormat="1" ht="13.8" x14ac:dyDescent="0.3">
      <c r="A6" s="7" t="s">
        <v>6</v>
      </c>
      <c r="B6" s="24">
        <v>1</v>
      </c>
      <c r="D6" s="20"/>
      <c r="E6" s="21"/>
      <c r="F6" s="22"/>
      <c r="I6" s="7" t="s">
        <v>6</v>
      </c>
      <c r="J6" s="24">
        <v>4</v>
      </c>
      <c r="K6" s="24">
        <v>3</v>
      </c>
      <c r="L6" s="24">
        <v>1</v>
      </c>
    </row>
    <row r="7" spans="1:22" s="4" customFormat="1" ht="13.8" x14ac:dyDescent="0.3">
      <c r="A7" s="7" t="s">
        <v>8</v>
      </c>
      <c r="B7" s="24">
        <v>1</v>
      </c>
      <c r="D7" s="27" t="s">
        <v>31</v>
      </c>
      <c r="E7" s="28"/>
      <c r="F7" s="23">
        <f>B30+(B4*B31)+(B5*B32)+(B6*B33)+(B7*B34)+(B8*B35)+(B9*B36)+(B10*B37)+(B11*B38)+(B12*B39)+(B3*B40)+(B13*B41)+(B14*B42)+(B19*B43)+(B23*B44)+(B24*B45)+(B20*B46)+(B25*B47)+(B26*B48)+(B21*B49)+(B27*B50)+(B22*B51)</f>
        <v>646.53589335409583</v>
      </c>
      <c r="I7" s="7" t="s">
        <v>8</v>
      </c>
      <c r="J7" s="24">
        <v>1</v>
      </c>
      <c r="K7" s="24">
        <v>1</v>
      </c>
      <c r="L7" s="24">
        <v>1</v>
      </c>
    </row>
    <row r="8" spans="1:22" s="4" customFormat="1" ht="13.8" x14ac:dyDescent="0.3">
      <c r="A8" s="7" t="s">
        <v>9</v>
      </c>
      <c r="B8" s="24">
        <v>1</v>
      </c>
      <c r="I8" s="7" t="s">
        <v>9</v>
      </c>
      <c r="J8" s="24">
        <v>0</v>
      </c>
      <c r="K8" s="24">
        <v>1</v>
      </c>
      <c r="L8" s="24">
        <v>1</v>
      </c>
    </row>
    <row r="9" spans="1:22" s="4" customFormat="1" ht="13.8" x14ac:dyDescent="0.3">
      <c r="A9" s="7" t="s">
        <v>10</v>
      </c>
      <c r="B9" s="24">
        <v>0</v>
      </c>
      <c r="I9" s="7" t="s">
        <v>10</v>
      </c>
      <c r="J9" s="24">
        <v>1</v>
      </c>
      <c r="K9" s="24">
        <v>0</v>
      </c>
      <c r="L9" s="24">
        <v>0</v>
      </c>
    </row>
    <row r="10" spans="1:22" s="4" customFormat="1" ht="13.8" x14ac:dyDescent="0.3">
      <c r="A10" s="7" t="s">
        <v>12</v>
      </c>
      <c r="B10" s="24">
        <v>0</v>
      </c>
      <c r="I10" s="7" t="s">
        <v>12</v>
      </c>
      <c r="J10" s="24">
        <v>0</v>
      </c>
      <c r="K10" s="24">
        <v>0</v>
      </c>
      <c r="L10" s="24">
        <v>0</v>
      </c>
    </row>
    <row r="11" spans="1:22" s="4" customFormat="1" ht="13.8" x14ac:dyDescent="0.3">
      <c r="A11" s="7" t="s">
        <v>14</v>
      </c>
      <c r="B11" s="24">
        <v>0</v>
      </c>
      <c r="I11" s="7" t="s">
        <v>14</v>
      </c>
      <c r="J11" s="24">
        <v>0</v>
      </c>
      <c r="K11" s="24">
        <v>0</v>
      </c>
      <c r="L11" s="24">
        <v>0</v>
      </c>
    </row>
    <row r="12" spans="1:22" s="4" customFormat="1" ht="13.8" x14ac:dyDescent="0.3">
      <c r="A12" s="7" t="s">
        <v>16</v>
      </c>
      <c r="B12" s="24">
        <v>0</v>
      </c>
      <c r="I12" s="7" t="s">
        <v>16</v>
      </c>
      <c r="J12" s="24">
        <v>0</v>
      </c>
      <c r="K12" s="24">
        <v>0</v>
      </c>
      <c r="L12" s="24">
        <v>0</v>
      </c>
    </row>
    <row r="13" spans="1:22" s="4" customFormat="1" ht="13.8" x14ac:dyDescent="0.3">
      <c r="A13" s="7" t="s">
        <v>18</v>
      </c>
      <c r="B13" s="24">
        <v>38</v>
      </c>
      <c r="I13" s="7" t="s">
        <v>18</v>
      </c>
      <c r="J13" s="24">
        <v>38</v>
      </c>
      <c r="K13" s="24">
        <v>34</v>
      </c>
      <c r="L13" s="24">
        <v>38</v>
      </c>
    </row>
    <row r="14" spans="1:22" s="4" customFormat="1" ht="13.8" x14ac:dyDescent="0.3">
      <c r="A14" s="7" t="s">
        <v>19</v>
      </c>
      <c r="B14" s="25">
        <v>79.553644143829203</v>
      </c>
      <c r="I14" s="7" t="s">
        <v>19</v>
      </c>
      <c r="J14" s="25">
        <v>101.14259918400001</v>
      </c>
      <c r="K14" s="25">
        <v>23.173473346554601</v>
      </c>
      <c r="L14" s="25">
        <v>79.553644143829203</v>
      </c>
    </row>
    <row r="15" spans="1:22" s="4" customFormat="1" ht="13.8" x14ac:dyDescent="0.3">
      <c r="A15" s="7" t="s">
        <v>20</v>
      </c>
      <c r="B15" s="24">
        <v>927</v>
      </c>
      <c r="I15" s="7" t="s">
        <v>20</v>
      </c>
      <c r="J15" s="24">
        <v>0</v>
      </c>
      <c r="K15" s="24">
        <v>455</v>
      </c>
      <c r="L15" s="24">
        <v>927</v>
      </c>
    </row>
    <row r="16" spans="1:22" s="4" customFormat="1" ht="13.8" x14ac:dyDescent="0.3">
      <c r="A16" s="7"/>
      <c r="B16" s="5"/>
      <c r="I16" s="29" t="s">
        <v>40</v>
      </c>
      <c r="J16" s="30">
        <v>494</v>
      </c>
      <c r="K16" s="30">
        <v>477</v>
      </c>
      <c r="L16" s="30">
        <v>623</v>
      </c>
    </row>
    <row r="17" spans="1:12" s="4" customFormat="1" ht="13.8" x14ac:dyDescent="0.3">
      <c r="B17" s="5"/>
      <c r="J17" s="1"/>
      <c r="K17" s="1"/>
      <c r="L17" s="1"/>
    </row>
    <row r="18" spans="1:12" ht="13.8" x14ac:dyDescent="0.3">
      <c r="A18" s="14" t="s">
        <v>33</v>
      </c>
      <c r="B18" s="15" t="s">
        <v>34</v>
      </c>
    </row>
    <row r="19" spans="1:12" ht="13.8" x14ac:dyDescent="0.3">
      <c r="A19" s="8" t="s">
        <v>21</v>
      </c>
      <c r="B19" s="9">
        <f>LN(B15+1)</f>
        <v>6.8330317327862007</v>
      </c>
    </row>
    <row r="20" spans="1:12" ht="13.8" x14ac:dyDescent="0.3">
      <c r="A20" s="8" t="s">
        <v>24</v>
      </c>
      <c r="B20" s="9">
        <f t="shared" ref="B20:B21" si="0">B13^2</f>
        <v>1444</v>
      </c>
    </row>
    <row r="21" spans="1:12" ht="13.8" x14ac:dyDescent="0.3">
      <c r="A21" s="8" t="s">
        <v>25</v>
      </c>
      <c r="B21" s="9">
        <f t="shared" si="0"/>
        <v>6328.7822965630103</v>
      </c>
    </row>
    <row r="22" spans="1:12" ht="13.8" x14ac:dyDescent="0.3">
      <c r="A22" s="8" t="s">
        <v>27</v>
      </c>
      <c r="B22" s="9">
        <f>B19^2</f>
        <v>46.690322661263188</v>
      </c>
    </row>
    <row r="23" spans="1:12" ht="13.8" x14ac:dyDescent="0.3">
      <c r="A23" s="8" t="s">
        <v>22</v>
      </c>
      <c r="B23" s="9">
        <f>B3*B13</f>
        <v>1862</v>
      </c>
    </row>
    <row r="24" spans="1:12" ht="13.8" x14ac:dyDescent="0.3">
      <c r="A24" s="8" t="s">
        <v>23</v>
      </c>
      <c r="B24" s="9">
        <f>B3*B14</f>
        <v>3898.1285630476309</v>
      </c>
    </row>
    <row r="25" spans="1:12" ht="13.8" x14ac:dyDescent="0.3">
      <c r="A25" s="8" t="s">
        <v>26</v>
      </c>
      <c r="B25" s="9">
        <f>B13*B14</f>
        <v>3023.0384774655099</v>
      </c>
    </row>
    <row r="26" spans="1:12" ht="13.8" x14ac:dyDescent="0.3">
      <c r="A26" s="8" t="s">
        <v>28</v>
      </c>
      <c r="B26" s="9">
        <f>B13*B19</f>
        <v>259.65520584587563</v>
      </c>
    </row>
    <row r="27" spans="1:12" ht="13.8" x14ac:dyDescent="0.3">
      <c r="A27" s="8" t="s">
        <v>29</v>
      </c>
      <c r="B27" s="9">
        <f>B14*B19</f>
        <v>543.59257489356605</v>
      </c>
    </row>
    <row r="28" spans="1:12" ht="13.8" x14ac:dyDescent="0.3">
      <c r="A28" s="10"/>
      <c r="B28" s="9"/>
    </row>
    <row r="29" spans="1:12" ht="13.8" x14ac:dyDescent="0.3">
      <c r="A29" s="14" t="s">
        <v>35</v>
      </c>
      <c r="B29" s="16" t="s">
        <v>34</v>
      </c>
    </row>
    <row r="30" spans="1:12" ht="13.8" x14ac:dyDescent="0.3">
      <c r="A30" s="8" t="s">
        <v>1</v>
      </c>
      <c r="B30" s="11">
        <v>-27.548400000000001</v>
      </c>
    </row>
    <row r="31" spans="1:12" ht="13.8" x14ac:dyDescent="0.3">
      <c r="A31" s="8" t="s">
        <v>3</v>
      </c>
      <c r="B31" s="11">
        <v>4.8228999999999997</v>
      </c>
    </row>
    <row r="32" spans="1:12" ht="13.8" x14ac:dyDescent="0.3">
      <c r="A32" s="8" t="s">
        <v>5</v>
      </c>
      <c r="B32" s="11">
        <v>53.763599999999997</v>
      </c>
    </row>
    <row r="33" spans="1:2" ht="13.8" x14ac:dyDescent="0.3">
      <c r="A33" s="8" t="s">
        <v>7</v>
      </c>
      <c r="B33" s="11">
        <v>-6.2222999999999997</v>
      </c>
    </row>
    <row r="34" spans="1:2" ht="13.8" x14ac:dyDescent="0.3">
      <c r="A34" s="8" t="s">
        <v>8</v>
      </c>
      <c r="B34" s="11">
        <v>69.652600000000007</v>
      </c>
    </row>
    <row r="35" spans="1:2" ht="13.8" x14ac:dyDescent="0.3">
      <c r="A35" s="8" t="s">
        <v>9</v>
      </c>
      <c r="B35" s="11">
        <v>59.361499999999999</v>
      </c>
    </row>
    <row r="36" spans="1:2" ht="13.8" x14ac:dyDescent="0.3">
      <c r="A36" s="8" t="s">
        <v>11</v>
      </c>
      <c r="B36" s="11">
        <v>-11.2371</v>
      </c>
    </row>
    <row r="37" spans="1:2" ht="13.8" x14ac:dyDescent="0.3">
      <c r="A37" s="8" t="s">
        <v>13</v>
      </c>
      <c r="B37" s="11">
        <v>15.6713</v>
      </c>
    </row>
    <row r="38" spans="1:2" ht="13.8" x14ac:dyDescent="0.3">
      <c r="A38" s="8" t="s">
        <v>15</v>
      </c>
      <c r="B38" s="11">
        <v>15.461399999999999</v>
      </c>
    </row>
    <row r="39" spans="1:2" ht="13.8" x14ac:dyDescent="0.3">
      <c r="A39" s="8" t="s">
        <v>17</v>
      </c>
      <c r="B39" s="11">
        <v>-11.962400000000001</v>
      </c>
    </row>
    <row r="40" spans="1:2" ht="13.8" x14ac:dyDescent="0.3">
      <c r="A40" s="8" t="s">
        <v>0</v>
      </c>
      <c r="B40" s="11">
        <v>6.0572999999999997</v>
      </c>
    </row>
    <row r="41" spans="1:2" ht="13.8" x14ac:dyDescent="0.3">
      <c r="A41" s="8" t="s">
        <v>18</v>
      </c>
      <c r="B41" s="11">
        <v>5.2278000000000002</v>
      </c>
    </row>
    <row r="42" spans="1:2" ht="13.8" x14ac:dyDescent="0.3">
      <c r="A42" s="8" t="s">
        <v>19</v>
      </c>
      <c r="B42" s="11">
        <v>0.78310000000000002</v>
      </c>
    </row>
    <row r="43" spans="1:2" ht="13.8" x14ac:dyDescent="0.3">
      <c r="A43" s="8" t="s">
        <v>21</v>
      </c>
      <c r="B43" s="11">
        <v>-130.31270000000001</v>
      </c>
    </row>
    <row r="44" spans="1:2" ht="13.8" x14ac:dyDescent="0.3">
      <c r="A44" s="8" t="s">
        <v>22</v>
      </c>
      <c r="B44" s="11">
        <v>-0.17150000000000001</v>
      </c>
    </row>
    <row r="45" spans="1:2" ht="13.8" x14ac:dyDescent="0.3">
      <c r="A45" s="8" t="s">
        <v>23</v>
      </c>
      <c r="B45" s="11">
        <v>-2.4899999999999999E-2</v>
      </c>
    </row>
    <row r="46" spans="1:2" ht="13.8" x14ac:dyDescent="0.3">
      <c r="A46" s="8" t="s">
        <v>24</v>
      </c>
      <c r="B46" s="11">
        <v>0.1062</v>
      </c>
    </row>
    <row r="47" spans="1:2" ht="13.8" x14ac:dyDescent="0.3">
      <c r="A47" s="8" t="s">
        <v>26</v>
      </c>
      <c r="B47" s="11">
        <v>2.3800000000000002E-2</v>
      </c>
    </row>
    <row r="48" spans="1:2" ht="13.8" x14ac:dyDescent="0.3">
      <c r="A48" s="8" t="s">
        <v>28</v>
      </c>
      <c r="B48" s="11">
        <v>-9.5299999999999996E-2</v>
      </c>
    </row>
    <row r="49" spans="1:2" ht="13.8" x14ac:dyDescent="0.3">
      <c r="A49" s="8" t="s">
        <v>25</v>
      </c>
      <c r="B49" s="11">
        <v>1.1000000000000001E-3</v>
      </c>
    </row>
    <row r="50" spans="1:2" ht="13.8" x14ac:dyDescent="0.3">
      <c r="A50" s="8" t="s">
        <v>29</v>
      </c>
      <c r="B50" s="11">
        <v>-2.0799999999999999E-2</v>
      </c>
    </row>
    <row r="51" spans="1:2" ht="13.8" x14ac:dyDescent="0.3">
      <c r="A51" s="8" t="s">
        <v>27</v>
      </c>
      <c r="B51" s="11">
        <v>22.3935</v>
      </c>
    </row>
    <row r="52" spans="1:2" ht="13.8" x14ac:dyDescent="0.3">
      <c r="A52" s="10"/>
      <c r="B52" s="9"/>
    </row>
    <row r="53" spans="1:2" ht="15.75" customHeight="1" x14ac:dyDescent="0.3">
      <c r="A53" s="10"/>
      <c r="B53" s="10"/>
    </row>
    <row r="54" spans="1:2" ht="15.75" customHeight="1" x14ac:dyDescent="0.3">
      <c r="A54" s="10"/>
      <c r="B54" s="10"/>
    </row>
    <row r="55" spans="1:2" ht="15.75" customHeight="1" x14ac:dyDescent="0.3">
      <c r="A55" s="10"/>
      <c r="B55" s="10"/>
    </row>
    <row r="56" spans="1:2" ht="15.75" customHeight="1" x14ac:dyDescent="0.3">
      <c r="A56" s="10"/>
      <c r="B56" s="10"/>
    </row>
  </sheetData>
  <mergeCells count="2">
    <mergeCell ref="A1:F1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Simulador de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Pamela Silva</cp:lastModifiedBy>
  <dcterms:modified xsi:type="dcterms:W3CDTF">2025-10-09T22:30:54Z</dcterms:modified>
</cp:coreProperties>
</file>